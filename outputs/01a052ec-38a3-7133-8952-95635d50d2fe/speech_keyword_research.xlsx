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7952a35e1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选词结论" sheetId="1" r:id="R349d05fba2534164"/>
    <x:sheet xmlns:r="http://schemas.openxmlformats.org/officeDocument/2006/relationships" name="关键词指标" sheetId="2" r:id="R69a5cfc42c6e49d9"/>
    <x:sheet xmlns:r="http://schemas.openxmlformats.org/officeDocument/2006/relationships" name="Trends验证" sheetId="3" r:id="R509932c6566e4544"/>
    <x:sheet xmlns:r="http://schemas.openxmlformats.org/officeDocument/2006/relationships" name="方法与指标" sheetId="4" r:id="Re5133d3bbd8749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&quot;$&quot;0.00"/>
    <x:numFmt numFmtId="202" formatCode="0&quot;%&quot;"/>
    <x:numFmt numFmtId="203" formatCode="0.00"/>
    <x:numFmt numFmtId="204" formatCode="0.0"/>
    <x:numFmt numFmtId="205" formatCode="0.0%"/>
    <x:numFmt numFmtId="206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32D"/>
      <x:name val="Carlito"/>
    </x:font>
    <x:font>
      <x:b/>
      <x:sz val="11"/>
      <x:color rgb="FFB36B00"/>
      <x:name val="Carlito"/>
    </x:font>
    <x:font>
      <x:b/>
      <x:sz val="18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32D"/>
      </x:patternFill>
    </x:fill>
    <x:fill>
      <x:patternFill patternType="solid">
        <x:fgColor rgb="FF1F7A5A"/>
      </x:patternFill>
    </x:fill>
    <x:fill>
      <x:patternFill patternType="solid">
        <x:fgColor rgb="FFFFF0D6"/>
      </x:patternFill>
    </x:fill>
    <x:fill>
      <x:patternFill patternType="solid">
        <x:fgColor rgb="FFF2F4F7"/>
      </x:patternFill>
    </x:fill>
  </x:fills>
  <x:borders count="10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2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200" fontId="0" fillId="4" borderId="2" xfId="0" applyNumberFormat="1" applyFont="1" applyFill="1" applyBorder="1"/>
    <x:xf numFmtId="201" fontId="0" fillId="4" borderId="4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F7A5A"/>
      </x:font>
      <x:fill>
        <x:patternFill patternType="solid">
          <x:bgColor rgb="FFDDF2E8"/>
        </x:patternFill>
      </x:fill>
    </x:dxf>
    <x:dxf>
      <x:font>
        <x:color rgb="FFB36B00"/>
      </x:font>
      <x:fill>
        <x:patternFill patternType="solid"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bea3aaa91343ff" /><Relationship Type="http://schemas.openxmlformats.org/officeDocument/2006/relationships/theme" Target="/xl/theme/theme1.xml" Id="Rc96da811d2364c31" /><Relationship Type="http://schemas.openxmlformats.org/officeDocument/2006/relationships/sharedStrings" Target="/xl/sharedStrings.xml" Id="R3af6261a073b45d4" /><Relationship Type="http://schemas.openxmlformats.org/officeDocument/2006/relationships/worksheet" Target="/xl/worksheets/sheet1.xml" Id="R349d05fba2534164" /><Relationship Type="http://schemas.openxmlformats.org/officeDocument/2006/relationships/worksheet" Target="/xl/worksheets/sheet2.xml" Id="R69a5cfc42c6e49d9" /><Relationship Type="http://schemas.openxmlformats.org/officeDocument/2006/relationships/worksheet" Target="/xl/worksheets/sheet3.xml" Id="R509932c6566e4544" /><Relationship Type="http://schemas.openxmlformats.org/officeDocument/2006/relationships/worksheet" Target="/xl/worksheets/sheet4.xml" Id="Re5133d3bbd8749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0" hidden="0" customWidth="1"/>
    <x:col min="3" max="3" width="18" hidden="0" customWidth="1"/>
    <x:col min="4" max="4" width="7" hidden="0" customWidth="1"/>
    <x:col min="5" max="5" width="42" hidden="0" customWidth="1"/>
    <x:col min="6" max="6" width="24" hidden="0" customWidth="1"/>
    <x:col min="7" max="7" width="34" hidden="0" customWidth="1"/>
    <x:col min="8" max="8" width="13" hidden="0" customWidth="1"/>
  </x:cols>
  <x:sheetData>
    <x:row r="1" ht="34" customHeight="1">
      <x:c r="A1" s="45" t="str">
        <x:v>口头表达微 SaaS：关键词机会摘要</x:v>
      </x:c>
      <x:c r="B1" s="45"/>
      <x:c r="C1" s="45"/>
      <x:c r="D1" s="45"/>
      <x:c r="E1" s="45"/>
      <x:c r="F1" s="45"/>
      <x:c r="G1" s="45"/>
      <x:c r="H1" s="45"/>
    </x:row>
    <x:row r="3">
      <x:c r="A3" s="4" t="str">
        <x:v>核心指标</x:v>
      </x:c>
      <x:c r="B3" s="4" t="str">
        <x:v>结果</x:v>
      </x:c>
      <x:c r="D3" s="4" t="str">
        <x:v>推荐执行顺序</x:v>
      </x:c>
      <x:c r="E3" s="4"/>
      <x:c r="F3" s="4"/>
      <x:c r="G3" s="4"/>
      <x:c r="H3" s="4"/>
    </x:row>
    <x:row r="4" ht="38" customHeight="1">
      <x:c r="A4" t="str">
        <x:v>通过严格条件的关键词</x:v>
      </x:c>
      <x:c r="B4" t="n">
        <x:f>COUNTIF('关键词指标'!I3:I10,"是")</x:f>
        <x:v>3</x:v>
      </x:c>
      <x:c r="D4" s="21" t="str">
        <x:v>1</x:v>
      </x:c>
      <x:c r="E4" s="21" t="str">
        <x:v>how to speak in public confidently</x:v>
      </x:c>
      <x:c r="F4" s="21" t="str">
        <x:v>工具型落地页</x:v>
      </x:c>
      <x:c r="G4" s="21" t="str">
        <x:v>低KD、高体量、近期增长</x:v>
      </x:c>
      <x:c r="H4" s="21" t="str">
        <x:v>立即</x:v>
      </x:c>
    </x:row>
    <x:row r="5" ht="38" customHeight="1">
      <x:c r="A5" t="str">
        <x:v>最高优先级词</x:v>
      </x:c>
      <x:c r="B5" t="str">
        <x:f>INDEX('关键词指标'!A3:A10,MATCH(MAX('关键词指标'!J3:J10),'关键词指标'!J3:J10,0))</x:f>
        <x:v>how to speak in public confidently</x:v>
      </x:c>
      <x:c r="D5" s="21" t="str">
        <x:v>2</x:v>
      </x:c>
      <x:c r="E5" s="21" t="str">
        <x:v>how to get better at public speaking</x:v>
      </x:c>
      <x:c r="F5" s="21" t="str">
        <x:v>支柱内容+训练计划</x:v>
      </x:c>
      <x:c r="G5" s="21" t="str">
        <x:v>趋势最连续</x:v>
      </x:c>
      <x:c r="H5" s="21" t="str">
        <x:v>立即</x:v>
      </x:c>
    </x:row>
    <x:row r="6" ht="38" customHeight="1">
      <x:c r="A6" t="str">
        <x:v>Google Trends可完整对比词</x:v>
      </x:c>
      <x:c r="B6" t="str">
        <x:v>presentation skills</x:v>
      </x:c>
      <x:c r="D6" s="21" t="str">
        <x:v>3</x:v>
      </x:c>
      <x:c r="E6" s="21" t="str">
        <x:v>how to improve public speaking</x:v>
      </x:c>
      <x:c r="F6" s="21" t="str">
        <x:v>支柱页+AI诊断</x:v>
      </x:c>
      <x:c r="G6" s="21" t="str">
        <x:v>体量和CPC兼顾</x:v>
      </x:c>
      <x:c r="H6" s="21" t="str">
        <x:v>第二批</x:v>
      </x:c>
    </x:row>
    <x:row r="7" ht="38" customHeight="1">
      <x:c r="D7" s="21" t="str">
        <x:v>4</x:v>
      </x:c>
      <x:c r="E7" s="21" t="str">
        <x:v>presentation skills</x:v>
      </x:c>
      <x:c r="F7" s="21" t="str">
        <x:v>长期主题集群</x:v>
      </x:c>
      <x:c r="G7" s="21" t="str">
        <x:v>体量接近GPTs基准，但KD略高</x:v>
      </x:c>
      <x:c r="H7" s="21" t="str">
        <x:v>长期</x:v>
      </x:c>
    </x:row>
    <x:row r="9">
      <x:c r="A9" s="20" t="str">
        <x:v>决策说明</x:v>
      </x:c>
      <x:c r="B9" s="20"/>
      <x:c r="C9" s="20"/>
      <x:c r="D9" s="20"/>
      <x:c r="E9" s="20"/>
      <x:c r="F9" s="20"/>
      <x:c r="G9" s="20"/>
      <x:c r="H9" s="20"/>
    </x:row>
    <x:row r="10">
      <x:c r="A10" s="46" t="str">
        <x:v>Google Trends证实 presentation skills 的长期相对体量接近 GPTs；三个长尾词因量级较小无法稳定返回时间序列，因此不能仅凭 Trends 判定其市场大小。</x:v>
      </x:c>
      <x:c r="B10" s="46"/>
      <x:c r="C10" s="46"/>
      <x:c r="D10" s="46"/>
      <x:c r="E10" s="46"/>
      <x:c r="F10" s="46"/>
      <x:c r="G10" s="46"/>
      <x:c r="H10" s="46"/>
    </x:row>
    <x:row r="11">
      <x:c r="A11" s="46" t="str">
        <x:v>严格筛选应继续以 Semrush 的美国搜索量、KD、CPC 和月度趋势为主，并用 Trends 的相关查询和季节性做交叉验证。</x:v>
      </x:c>
      <x:c r="B11" s="46"/>
      <x:c r="C11" s="46"/>
      <x:c r="D11" s="46"/>
      <x:c r="E11" s="46"/>
      <x:c r="F11" s="46"/>
      <x:c r="G11" s="46"/>
      <x:c r="H11" s="46"/>
    </x:row>
    <x:row r="12">
      <x:c r="A12" s="46" t="str">
        <x:v>优先页面必须内嵌可立即使用的录音分析工具，否则信息型流量难以转化为注册。</x:v>
      </x:c>
      <x:c r="B12" s="46"/>
      <x:c r="C12" s="46"/>
      <x:c r="D12" s="46"/>
      <x:c r="E12" s="46"/>
      <x:c r="F12" s="46"/>
      <x:c r="G12" s="46"/>
      <x:c r="H12" s="46"/>
    </x:row>
    <x:row r="13">
      <x:c r="A13" s="46" t="str">
        <x:v>filler words 虽未满足上升趋势，但 CPC 高且产品承接明确，建议作为第二阶段免费工具入口。</x:v>
      </x:c>
      <x:c r="B13" s="46"/>
      <x:c r="C13" s="46"/>
      <x:c r="D13" s="46"/>
      <x:c r="E13" s="46"/>
      <x:c r="F13" s="46"/>
      <x:c r="G13" s="46"/>
      <x:c r="H13" s="46"/>
    </x:row>
    <x:row r="14">
      <x:c r="A14" s="46" t="str">
        <x:v>presentation coach CPC很高但美国量不足，适合付费广告或商业落地页测试，不适合作为SEO主词。</x:v>
      </x:c>
      <x:c r="B14" s="46"/>
      <x:c r="C14" s="46"/>
      <x:c r="D14" s="46"/>
      <x:c r="E14" s="46"/>
      <x:c r="F14" s="46"/>
      <x:c r="G14" s="46"/>
      <x:c r="H14" s="46"/>
    </x:row>
  </x:sheetData>
  <x:mergeCells>
    <x:mergeCell ref="A1:H1"/>
    <x:mergeCell ref="D3:H3"/>
    <x:mergeCell ref="A9:H9"/>
    <x:mergeCell ref="A10:H10"/>
    <x:mergeCell ref="A11:H11"/>
    <x:mergeCell ref="A12:H1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0" hidden="0" customWidth="1"/>
    <x:col min="9" max="9" width="14" hidden="0" customWidth="1"/>
    <x:col min="10" max="10" width="14" hidden="0" customWidth="1"/>
    <x:col min="11" max="11" width="22" hidden="0" customWidth="1"/>
    <x:col min="12" max="12" width="22" hidden="0" customWidth="1"/>
    <x:col min="13" max="13" width="48" hidden="0" customWidth="1"/>
    <x:col min="14" max="14" width="36" hidden="0" customWidth="1"/>
  </x:cols>
  <x:sheetData>
    <x:row r="1" ht="30" customHeight="1">
      <x:c r="A1" s="2" t="str">
        <x:v>美国关键词指标与筛选结果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4" customHeight="1">
      <x:c r="A2" s="22" t="str">
        <x:v>关键词</x:v>
      </x:c>
      <x:c r="B2" s="22" t="str">
        <x:v>美国搜索量</x:v>
      </x:c>
      <x:c r="C2" s="22" t="str">
        <x:v>KD</x:v>
      </x:c>
      <x:c r="D2" s="22" t="str">
        <x:v>CPC</x:v>
      </x:c>
      <x:c r="E2" s="22" t="str">
        <x:v>广告竞争度</x:v>
      </x:c>
      <x:c r="F2" s="22" t="str">
        <x:v>搜索意图</x:v>
      </x:c>
      <x:c r="G2" s="22" t="str">
        <x:v>Semrush趋势</x:v>
      </x:c>
      <x:c r="H2" s="22" t="str">
        <x:v>趋势证据</x:v>
      </x:c>
      <x:c r="I2" s="22" t="str">
        <x:v>是否通过</x:v>
      </x:c>
      <x:c r="J2" s="22" t="str">
        <x:v>优先级分数</x:v>
      </x:c>
      <x:c r="K2" s="22" t="str">
        <x:v>建议页面</x:v>
      </x:c>
      <x:c r="L2" s="22" t="str">
        <x:v>产品承接</x:v>
      </x:c>
      <x:c r="M2" s="22" t="str">
        <x:v>Semrush来源</x:v>
      </x:c>
      <x:c r="N2" s="22" t="str">
        <x:v>备注</x:v>
      </x:c>
    </x:row>
    <x:row r="3" ht="50" customHeight="1">
      <x:c r="A3" s="33" t="str">
        <x:v>how to speak in public confidently</x:v>
      </x:c>
      <x:c r="B3" s="34" t="n">
        <x:v>9900</x:v>
      </x:c>
      <x:c r="C3" s="35" t="n">
        <x:v>26</x:v>
      </x:c>
      <x:c r="D3" s="36" t="n">
        <x:v>0.96</x:v>
      </x:c>
      <x:c r="E3" s="37" t="n">
        <x:v>0.22</x:v>
      </x:c>
      <x:c r="F3" s="33" t="str">
        <x:v>信息</x:v>
      </x:c>
      <x:c r="G3" s="33" t="str">
        <x:v>上升</x:v>
      </x:c>
      <x:c r="H3" s="33" t="str">
        <x:v>近12月末值升至100，近期增量显著</x:v>
      </x:c>
      <x:c r="I3" s="33" t="str">
        <x:f>IF(AND(B3&gt;='方法与指标'!$B$4,D3&gt;='方法与指标'!$B$5,C3&lt;='方法与指标'!$B$6,G3="上升"),"是","否")</x:f>
        <x:v>是</x:v>
      </x:c>
      <x:c r="J3" s="38" t="n">
        <x:f>IF(I3&lt;&gt;"是",0,ROUND(MIN(B3/'方法与指标'!$B$7,1)*30+(1-C3/100)*30+MIN(D3/'方法与指标'!$B$8,1)*20+20,1))</x:f>
        <x:v>75.7</x:v>
      </x:c>
      <x:c r="K3" s="33" t="str">
        <x:v>工具型落地页</x:v>
      </x:c>
      <x:c r="L3" s="33" t="str">
        <x:v>60秒自信表达测试</x:v>
      </x:c>
      <x:c r="M3" s="33" t="str">
        <x:v>https://zh.semrush.com/analytics/keywordoverview?q=how%20to%20speak%20in%20public%20confidently&amp;db=us</x:v>
      </x:c>
      <x:c r="N3" s="33" t="str">
        <x:v>全球量较大，需注意地域语义差异</x:v>
      </x:c>
    </x:row>
    <x:row r="4" ht="50" customHeight="1">
      <x:c r="A4" s="33" t="str">
        <x:v>how to get better at public speaking</x:v>
      </x:c>
      <x:c r="B4" s="34" t="n">
        <x:v>3600</x:v>
      </x:c>
      <x:c r="C4" s="35" t="n">
        <x:v>28</x:v>
      </x:c>
      <x:c r="D4" s="36" t="n">
        <x:v>1.1</x:v>
      </x:c>
      <x:c r="E4" s="37" t="n">
        <x:v>0.28</x:v>
      </x:c>
      <x:c r="F4" s="33" t="str">
        <x:v>信息</x:v>
      </x:c>
      <x:c r="G4" s="33" t="str">
        <x:v>上升</x:v>
      </x:c>
      <x:c r="H4" s="33" t="str">
        <x:v>月度指数由1逐步升至100</x:v>
      </x:c>
      <x:c r="I4" s="33" t="str">
        <x:f>IF(AND(B4&gt;='方法与指标'!$B$4,D4&gt;='方法与指标'!$B$5,C4&lt;='方法与指标'!$B$6,G4="上升"),"是","否")</x:f>
        <x:v>是</x:v>
      </x:c>
      <x:c r="J4" s="38" t="n">
        <x:f>IF(I4&lt;&gt;"是",0,ROUND(MIN(B4/'方法与指标'!$B$7,1)*30+(1-C4/100)*30+MIN(D4/'方法与指标'!$B$8,1)*20+20,1))</x:f>
        <x:v>56.8</x:v>
      </x:c>
      <x:c r="K4" s="33" t="str">
        <x:v>支柱内容+工具</x:v>
      </x:c>
      <x:c r="L4" s="33" t="str">
        <x:v>个性化练习计划</x:v>
      </x:c>
      <x:c r="M4" s="33" t="str">
        <x:v>https://zh.semrush.com/analytics/keywordoverview?q=how%20to%20get%20better%20at%20public%20speaking&amp;db=us</x:v>
      </x:c>
      <x:c r="N4" s="33" t="str">
        <x:v>低KD且趋势最连续</x:v>
      </x:c>
    </x:row>
    <x:row r="5" ht="50" customHeight="1">
      <x:c r="A5" s="33" t="str">
        <x:v>how to improve public speaking</x:v>
      </x:c>
      <x:c r="B5" s="34" t="n">
        <x:v>9900</x:v>
      </x:c>
      <x:c r="C5" s="35" t="n">
        <x:v>35</x:v>
      </x:c>
      <x:c r="D5" s="36" t="n">
        <x:v>1.44</x:v>
      </x:c>
      <x:c r="E5" s="37" t="n">
        <x:v>0.27</x:v>
      </x:c>
      <x:c r="F5" s="33" t="str">
        <x:v>信息</x:v>
      </x:c>
      <x:c r="G5" s="33" t="str">
        <x:v>上升</x:v>
      </x:c>
      <x:c r="H5" s="33" t="str">
        <x:v>最近三期100/100/81，维持高位</x:v>
      </x:c>
      <x:c r="I5" s="33" t="str">
        <x:f>IF(AND(B5&gt;='方法与指标'!$B$4,D5&gt;='方法与指标'!$B$5,C5&lt;='方法与指标'!$B$6,G5="上升"),"是","否")</x:f>
        <x:v>是</x:v>
      </x:c>
      <x:c r="J5" s="38" t="n">
        <x:f>IF(I5&lt;&gt;"是",0,ROUND(MIN(B5/'方法与指标'!$B$7,1)*30+(1-C5/100)*30+MIN(D5/'方法与指标'!$B$8,1)*20+20,1))</x:f>
        <x:v>75</x:v>
      </x:c>
      <x:c r="K5" s="33" t="str">
        <x:v>支柱内容页</x:v>
      </x:c>
      <x:c r="L5" s="33" t="str">
        <x:v>AI演讲诊断</x:v>
      </x:c>
      <x:c r="M5" s="33" t="str">
        <x:v>https://zh.semrush.com/analytics/keywordoverview?q=how%20to%20improve%20public%20speaking&amp;db=us</x:v>
      </x:c>
      <x:c r="N5" s="33" t="str">
        <x:v>相关查询 at home +90%，confidence +50%</x:v>
      </x:c>
    </x:row>
    <x:row r="6" ht="50" customHeight="1">
      <x:c r="A6" s="33" t="str">
        <x:v>presentation skills</x:v>
      </x:c>
      <x:c r="B6" s="34" t="n">
        <x:v>550000</x:v>
      </x:c>
      <x:c r="C6" s="35" t="n">
        <x:v>36</x:v>
      </x:c>
      <x:c r="D6" s="36" t="n">
        <x:v>2.32</x:v>
      </x:c>
      <x:c r="E6" s="37" t="n">
        <x:v>0.33</x:v>
      </x:c>
      <x:c r="F6" s="33" t="str">
        <x:v>信息</x:v>
      </x:c>
      <x:c r="G6" s="33" t="str">
        <x:v>上升</x:v>
      </x:c>
      <x:c r="H6" s="33" t="str">
        <x:v>近12月由16上升至100</x:v>
      </x:c>
      <x:c r="I6" s="33" t="str">
        <x:f>IF(AND(B6&gt;='方法与指标'!$B$4,D6&gt;='方法与指标'!$B$5,C6&lt;='方法与指标'!$B$6,G6="上升"),"是","否")</x:f>
        <x:v>否</x:v>
      </x:c>
      <x:c r="J6" s="38" t="n">
        <x:f>IF(I6&lt;&gt;"是",0,ROUND(MIN(B6/'方法与指标'!$B$7,1)*30+(1-C6/100)*30+MIN(D6/'方法与指标'!$B$8,1)*20+20,1))</x:f>
        <x:v>0</x:v>
      </x:c>
      <x:c r="K6" s="33" t="str">
        <x:v>长期主题集群</x:v>
      </x:c>
      <x:c r="L6" s="33" t="str">
        <x:v>演示表达评分</x:v>
      </x:c>
      <x:c r="M6" s="33" t="str">
        <x:v>https://zh.semrush.com/analytics/keywordoverview?q=presentation%20skills&amp;db=us</x:v>
      </x:c>
      <x:c r="N6" s="33" t="str">
        <x:v>KD略高于建议阈值，但体量和商业价值突出</x:v>
      </x:c>
    </x:row>
    <x:row r="7" ht="50" customHeight="1">
      <x:c r="A7" s="33" t="str">
        <x:v>filler words</x:v>
      </x:c>
      <x:c r="B7" s="34" t="n">
        <x:v>6600</x:v>
      </x:c>
      <x:c r="C7" s="35" t="n">
        <x:v>49</x:v>
      </x:c>
      <x:c r="D7" s="36" t="n">
        <x:v>2.14</x:v>
      </x:c>
      <x:c r="E7" s="37" t="n">
        <x:v>0.33</x:v>
      </x:c>
      <x:c r="F7" s="33" t="str">
        <x:v>信息</x:v>
      </x:c>
      <x:c r="G7" s="33" t="str">
        <x:v>平稳</x:v>
      </x:c>
      <x:c r="H7" s="33" t="str">
        <x:v>前期单次尖峰，近期约19-24</x:v>
      </x:c>
      <x:c r="I7" s="33" t="str">
        <x:f>IF(AND(B7&gt;='方法与指标'!$B$4,D7&gt;='方法与指标'!$B$5,C7&lt;='方法与指标'!$B$6,G7="上升"),"是","否")</x:f>
        <x:v>否</x:v>
      </x:c>
      <x:c r="J7" s="38" t="n">
        <x:f>IF(I7&lt;&gt;"是",0,ROUND(MIN(B7/'方法与指标'!$B$7,1)*30+(1-C7/100)*30+MIN(D7/'方法与指标'!$B$8,1)*20+20,1))</x:f>
        <x:v>0</x:v>
      </x:c>
      <x:c r="K7" s="33" t="str">
        <x:v>免费工具页</x:v>
      </x:c>
      <x:c r="L7" s="33" t="str">
        <x:v>口头禅检测器</x:v>
      </x:c>
      <x:c r="M7" s="33" t="str">
        <x:v>https://zh.semrush.com/analytics/keywordoverview?q=filler%20words&amp;db=us</x:v>
      </x:c>
      <x:c r="N7" s="33" t="str">
        <x:v>产品承接强，但不满足上升趋势</x:v>
      </x:c>
    </x:row>
    <x:row r="8" ht="50" customHeight="1">
      <x:c r="A8" s="33" t="str">
        <x:v>presentation coach</x:v>
      </x:c>
      <x:c r="B8" s="34" t="n">
        <x:v>210</x:v>
      </x:c>
      <x:c r="C8" s="35" t="n">
        <x:v>29</x:v>
      </x:c>
      <x:c r="D8" s="36" t="n">
        <x:v>6.64</x:v>
      </x:c>
      <x:c r="E8" s="37" t="n">
        <x:v>0.32</x:v>
      </x:c>
      <x:c r="F8" s="33" t="str">
        <x:v>商务</x:v>
      </x:c>
      <x:c r="G8" s="33" t="str">
        <x:v>波动</x:v>
      </x:c>
      <x:c r="H8" s="33" t="str">
        <x:v>月度指数波动较大，未形成连续增长</x:v>
      </x:c>
      <x:c r="I8" s="33" t="str">
        <x:f>IF(AND(B8&gt;='方法与指标'!$B$4,D8&gt;='方法与指标'!$B$5,C8&lt;='方法与指标'!$B$6,G8="上升"),"是","否")</x:f>
        <x:v>否</x:v>
      </x:c>
      <x:c r="J8" s="38" t="n">
        <x:f>IF(I8&lt;&gt;"是",0,ROUND(MIN(B8/'方法与指标'!$B$7,1)*30+(1-C8/100)*30+MIN(D8/'方法与指标'!$B$8,1)*20+20,1))</x:f>
        <x:v>0</x:v>
      </x:c>
      <x:c r="K8" s="33" t="str">
        <x:v>商业落地页</x:v>
      </x:c>
      <x:c r="L8" s="33" t="str">
        <x:v>付费AI演示教练</x:v>
      </x:c>
      <x:c r="M8" s="33" t="str">
        <x:v>https://zh.semrush.com/analytics/keywordoverview?q=presentation%20coach&amp;db=us</x:v>
      </x:c>
      <x:c r="N8" s="33" t="str">
        <x:v>CPC高但美国搜索量不足</x:v>
      </x:c>
    </x:row>
    <x:row r="9" ht="50" customHeight="1">
      <x:c r="A9" s="33" t="str">
        <x:v>speech pace</x:v>
      </x:c>
      <x:c r="B9" s="34" t="n">
        <x:v>30</x:v>
      </x:c>
      <x:c r="C9" s="35"/>
      <x:c r="D9" s="36" t="n">
        <x:v>0</x:v>
      </x:c>
      <x:c r="E9" s="37" t="n">
        <x:v>0.33</x:v>
      </x:c>
      <x:c r="F9" s="33" t="str">
        <x:v>不可用</x:v>
      </x:c>
      <x:c r="G9" s="33" t="str">
        <x:v>波动</x:v>
      </x:c>
      <x:c r="H9" s="33" t="str">
        <x:v>低样本，趋势不可靠</x:v>
      </x:c>
      <x:c r="I9" s="33" t="str">
        <x:f>IF(AND(B9&gt;='方法与指标'!$B$4,D9&gt;='方法与指标'!$B$5,C9&lt;='方法与指标'!$B$6,G9="上升"),"是","否")</x:f>
        <x:v>否</x:v>
      </x:c>
      <x:c r="J9" s="38" t="n">
        <x:f>IF(I9&lt;&gt;"是",0,ROUND(MIN(B9/'方法与指标'!$B$7,1)*30+(1-C9/100)*30+MIN(D9/'方法与指标'!$B$8,1)*20+20,1))</x:f>
        <x:v>0</x:v>
      </x:c>
      <x:c r="K9" s="33" t="str">
        <x:v>功能说明页</x:v>
      </x:c>
      <x:c r="L9" s="33" t="str">
        <x:v>语速检测</x:v>
      </x:c>
      <x:c r="M9" s="33" t="str">
        <x:v>https://zh.semrush.com/analytics/keywordoverview?q=speech%20pace&amp;db=us</x:v>
      </x:c>
      <x:c r="N9" s="33" t="str">
        <x:v>不满足搜索量和CPC要求</x:v>
      </x:c>
    </x:row>
    <x:row r="10" ht="50" customHeight="1">
      <x:c r="A10" s="33" t="str">
        <x:v>public speaking</x:v>
      </x:c>
      <x:c r="B10" s="34" t="n">
        <x:v>550000</x:v>
      </x:c>
      <x:c r="C10" s="35" t="n">
        <x:v>74</x:v>
      </x:c>
      <x:c r="D10" s="36" t="n">
        <x:v>2.31</x:v>
      </x:c>
      <x:c r="E10" s="37" t="n">
        <x:v>0.08</x:v>
      </x:c>
      <x:c r="F10" s="33" t="str">
        <x:v>信息</x:v>
      </x:c>
      <x:c r="G10" s="33" t="str">
        <x:v>长期稳定</x:v>
      </x:c>
      <x:c r="H10" s="33" t="str">
        <x:v>常青需求，季节性明显</x:v>
      </x:c>
      <x:c r="I10" s="33" t="str">
        <x:f>IF(AND(B10&gt;='方法与指标'!$B$4,D10&gt;='方法与指标'!$B$5,C10&lt;='方法与指标'!$B$6,G10="上升"),"是","否")</x:f>
        <x:v>否</x:v>
      </x:c>
      <x:c r="J10" s="38" t="n">
        <x:f>IF(I10&lt;&gt;"是",0,ROUND(MIN(B10/'方法与指标'!$B$7,1)*30+(1-C10/100)*30+MIN(D10/'方法与指标'!$B$8,1)*20+20,1))</x:f>
        <x:v>0</x:v>
      </x:c>
      <x:c r="K10" s="33" t="str">
        <x:v>品牌支柱页</x:v>
      </x:c>
      <x:c r="L10" s="33" t="str">
        <x:v>完整AI教练</x:v>
      </x:c>
      <x:c r="M10" s="33" t="str">
        <x:v>https://zh.semrush.com/analytics/keywordoverview?q=public%20speaking&amp;db=us</x:v>
      </x:c>
      <x:c r="N10" s="33" t="str">
        <x:v>头部词竞争过高，不适合新站首攻</x:v>
      </x:c>
    </x:row>
  </x:sheetData>
  <x:mergeCells>
    <x:mergeCell ref="A1:N1"/>
  </x:mergeCells>
  <x:conditionalFormatting sqref="I3:I10">
    <x:cfRule type="containsText" dxfId="0" priority="1" operator="containsText" text="是"/>
    <x:cfRule type="containsText" dxfId="1" priority="2" operator="containsText" text="否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4" hidden="0" customWidth="1"/>
    <x:col min="7" max="7" width="34" hidden="0" customWidth="1"/>
    <x:col min="8" max="8" width="55" hidden="0" customWidth="1"/>
  </x:cols>
  <x:sheetData>
    <x:row r="1" ht="30" customHeight="1">
      <x:c r="A1" s="2" t="str">
        <x:v>Google Trends 验证（美国，过去5年，Google网页搜索）</x:v>
      </x:c>
      <x:c r="B1" s="2"/>
      <x:c r="C1" s="2"/>
      <x:c r="D1" s="2"/>
      <x:c r="E1" s="2"/>
      <x:c r="F1" s="2"/>
      <x:c r="G1" s="2"/>
      <x:c r="H1" s="2"/>
    </x:row>
    <x:row r="3">
      <x:c r="A3" s="22" t="str">
        <x:v>关键词</x:v>
      </x:c>
      <x:c r="B3" s="22" t="str">
        <x:v>Trends平均值</x:v>
      </x:c>
      <x:c r="C3" s="22" t="str">
        <x:v>GPTs平均值</x:v>
      </x:c>
      <x:c r="D3" s="22" t="str">
        <x:v>相对GPTs</x:v>
      </x:c>
      <x:c r="E3" s="22" t="str">
        <x:v>时间序列状态</x:v>
      </x:c>
      <x:c r="F3" s="22" t="str">
        <x:v>上升相关查询</x:v>
      </x:c>
      <x:c r="G3" s="22" t="str">
        <x:v>判断</x:v>
      </x:c>
      <x:c r="H3" s="22" t="str">
        <x:v>来源</x:v>
      </x:c>
    </x:row>
    <x:row r="4">
      <x:c r="A4" s="33" t="str">
        <x:v>presentation skills</x:v>
      </x:c>
      <x:c r="B4" s="33" t="n">
        <x:v>13</x:v>
      </x:c>
      <x:c r="C4" s="33" t="n">
        <x:v>15</x:v>
      </x:c>
      <x:c r="D4" s="41" t="n">
        <x:f>B4/C4</x:f>
        <x:v>0.8666666666666667</x:v>
      </x:c>
      <x:c r="E4" s="33" t="str">
        <x:v>完整时间序列</x:v>
      </x:c>
      <x:c r="F4" s="33" t="str">
        <x:v>what is presentation skills +250%; examples +90%</x:v>
      </x:c>
      <x:c r="G4" s="33" t="str">
        <x:v>体量接近GPTs长期平均，且近年上行</x:v>
      </x:c>
      <x:c r="H4" s="33" t="str">
        <x:v>https://trends.google.com/trends/explore?q=GPTs%2Cpresentation%20skills&amp;geo=US&amp;date=today%205-y</x:v>
      </x:c>
    </x:row>
    <x:row r="5">
      <x:c r="A5" s="33" t="str">
        <x:v>how to improve public speaking</x:v>
      </x:c>
      <x:c r="B5" s="33"/>
      <x:c r="C5" s="33" t="n">
        <x:v>15</x:v>
      </x:c>
      <x:c r="D5" s="41"/>
      <x:c r="E5" s="33" t="str">
        <x:v>相对GPTs过小，趋势图报错</x:v>
      </x:c>
      <x:c r="F5" s="33" t="str">
        <x:v>at home +90%; confidence +50%</x:v>
      </x:c>
      <x:c r="G5" s="33" t="str">
        <x:v>用Semrush绝对量与趋势交叉验证</x:v>
      </x:c>
      <x:c r="H5" s="33" t="str">
        <x:v>https://trends.google.com/trends/explore?q=GPTs%2Chow%20to%20improve%20public%20speaking&amp;geo=US&amp;date=today%205-y</x:v>
      </x:c>
    </x:row>
    <x:row r="6">
      <x:c r="A6" s="33" t="str">
        <x:v>how to speak in public confidently</x:v>
      </x:c>
      <x:c r="B6" s="33"/>
      <x:c r="C6" s="33" t="n">
        <x:v>15</x:v>
      </x:c>
      <x:c r="D6" s="41"/>
      <x:c r="E6" s="33" t="str">
        <x:v>数据不足</x:v>
      </x:c>
      <x:c r="F6" s="33" t="str">
        <x:v>无足够相关查询</x:v>
      </x:c>
      <x:c r="G6" s="33" t="str">
        <x:v>不能用Trends估算绝对体量</x:v>
      </x:c>
      <x:c r="H6" s="33" t="str">
        <x:v>https://trends.google.com/trends/explore?q=GPTs%2Chow%20to%20speak%20in%20public%20confidently&amp;geo=US&amp;date=today%205-y</x:v>
      </x:c>
    </x:row>
    <x:row r="7">
      <x:c r="A7" s="33" t="str">
        <x:v>how to get better at public speaking</x:v>
      </x:c>
      <x:c r="B7" s="33"/>
      <x:c r="C7" s="33" t="n">
        <x:v>15</x:v>
      </x:c>
      <x:c r="D7" s="41"/>
      <x:c r="E7" s="33" t="str">
        <x:v>数据不足</x:v>
      </x:c>
      <x:c r="F7" s="33" t="str">
        <x:v>无足够相关查询</x:v>
      </x:c>
      <x:c r="G7" s="33" t="str">
        <x:v>不能用Trends估算绝对体量</x:v>
      </x:c>
      <x:c r="H7" s="33" t="str">
        <x:v>https://trends.google.com/trends/explore?q=GPTs%2Chow%20to%20get%20better%20at%20public%20speaking&amp;geo=US&amp;date=today%205-y</x:v>
      </x:c>
    </x:row>
    <x:row r="8">
      <x:c r="A8" s="33" t="str">
        <x:v>GPTs（基准）</x:v>
      </x:c>
      <x:c r="B8" s="33" t="n">
        <x:v>15</x:v>
      </x:c>
      <x:c r="C8" s="33" t="n">
        <x:v>15</x:v>
      </x:c>
      <x:c r="D8" s="41" t="n">
        <x:v>1</x:v>
      </x:c>
      <x:c r="E8" s="33" t="str">
        <x:v>完整时间序列</x:v>
      </x:c>
      <x:c r="F8" s="33" t="str">
        <x:v>custom gpts / chat gpts：飙升</x:v>
      </x:c>
      <x:c r="G8" s="33" t="str">
        <x:v>仅作相对规模锚点</x:v>
      </x:c>
      <x:c r="H8" s="33" t="str">
        <x:v>https://trends.google.com/trends/explore?q=GPTs%2Cpresentation%20skills&amp;geo=US&amp;date=today%205-y</x:v>
      </x:c>
    </x:row>
    <x:row r="11">
      <x:c r="A11" s="20" t="str">
        <x:v>周</x:v>
      </x:c>
      <x:c r="B11" s="20" t="str">
        <x:v>GPTs指数</x:v>
      </x:c>
      <x:c r="C11" s="20" t="str">
        <x:v>presentation skills指数</x:v>
      </x:c>
      <x:c r="E11" s="44" t="str">
        <x:v>验证结论</x:v>
      </x:c>
      <x:c r="F11" s="44" t="str"/>
      <x:c r="G11" s="44" t="str"/>
      <x:c r="H11" s="44" t="str"/>
    </x:row>
    <x:row r="12">
      <x:c r="A12" s="42" t="n">
        <x:v>46187</x:v>
      </x:c>
      <x:c r="B12" t="n">
        <x:v>54</x:v>
      </x:c>
      <x:c r="C12" t="n">
        <x:v>27</x:v>
      </x:c>
      <x:c r="E12" s="21" t="str">
        <x:v>1</x:v>
      </x:c>
      <x:c r="F12" s="21" t="str">
        <x:v>presentation skills 的5年平均指数为13，GPTs为15，约为其86.7%。</x:v>
      </x:c>
      <x:c r="G12" s="21" t="str"/>
      <x:c r="H12" s="21" t="str"/>
    </x:row>
    <x:row r="13">
      <x:c r="A13" s="42" t="n">
        <x:v>46194</x:v>
      </x:c>
      <x:c r="B13" t="n">
        <x:v>43</x:v>
      </x:c>
      <x:c r="C13" t="n">
        <x:v>19</x:v>
      </x:c>
      <x:c r="E13" s="21" t="str">
        <x:v>2</x:v>
      </x:c>
      <x:c r="F13" s="21" t="str">
        <x:v>三个长尾词相对GPTs过小，Google Trends无法稳定返回完整时间序列。</x:v>
      </x:c>
      <x:c r="G13" s="21" t="str"/>
      <x:c r="H13" s="21" t="str"/>
    </x:row>
    <x:row r="14">
      <x:c r="A14" s="42" t="n">
        <x:v>46201</x:v>
      </x:c>
      <x:c r="B14" t="n">
        <x:v>42</x:v>
      </x:c>
      <x:c r="C14" t="n">
        <x:v>19</x:v>
      </x:c>
      <x:c r="E14" s="21" t="str">
        <x:v>3</x:v>
      </x:c>
      <x:c r="F14" s="21" t="str">
        <x:v>长尾词应以Semrush绝对搜索量为主，Trends用于确认方向和相关查询增长。</x:v>
      </x:c>
      <x:c r="G14" s="21" t="str"/>
      <x:c r="H14" s="21" t="str"/>
    </x:row>
    <x:row r="15">
      <x:c r="A15" s="42" t="n">
        <x:v>46208</x:v>
      </x:c>
      <x:c r="B15" t="n">
        <x:v>36</x:v>
      </x:c>
      <x:c r="C15" t="n">
        <x:v>20</x:v>
      </x:c>
      <x:c r="E15" s="21" t="str">
        <x:v>4</x:v>
      </x:c>
      <x:c r="F15" s="21" t="str">
        <x:v>GPTs本身在2023年11月有产品发布峰值，因此不宜用单周峰值估算长期搜索量。</x:v>
      </x:c>
      <x:c r="G15" s="21" t="str"/>
      <x:c r="H15" s="21" t="str"/>
    </x:row>
    <x:row r="16">
      <x:c r="A16" s="42" t="n">
        <x:v>46215</x:v>
      </x:c>
      <x:c r="B16" t="n">
        <x:v>30</x:v>
      </x:c>
      <x:c r="C16" t="n">
        <x:v>13</x:v>
      </x:c>
    </x:row>
    <x:row r="17">
      <x:c r="A17" s="42" t="n">
        <x:v>46222</x:v>
      </x:c>
      <x:c r="B17" t="n">
        <x:v>22</x:v>
      </x:c>
      <x:c r="C17" t="n">
        <x:v>14</x:v>
      </x:c>
    </x:row>
    <x:row r="18">
      <x:c r="A18" s="42" t="n">
        <x:v>46229</x:v>
      </x:c>
      <x:c r="B18" t="n">
        <x:v>19</x:v>
      </x:c>
      <x:c r="C18" t="n">
        <x:v>9</x:v>
      </x:c>
    </x:row>
    <x:row r="19">
      <x:c r="A19" s="42" t="n">
        <x:v>46236</x:v>
      </x:c>
      <x:c r="B19" t="n">
        <x:v>19</x:v>
      </x:c>
      <x:c r="C19" t="n">
        <x:v>13</x:v>
      </x:c>
    </x:row>
    <x:row r="20">
      <x:c r="A20" s="42" t="n">
        <x:v>46243</x:v>
      </x:c>
      <x:c r="B20" t="n">
        <x:v>19</x:v>
      </x:c>
      <x:c r="C20" t="n">
        <x:v>13</x:v>
      </x:c>
    </x:row>
    <x:row r="21">
      <x:c r="A21" s="42" t="n">
        <x:v>46250</x:v>
      </x:c>
      <x:c r="B21" t="n">
        <x:v>16</x:v>
      </x:c>
      <x:c r="C21" t="n">
        <x:v>10</x:v>
      </x:c>
    </x:row>
    <x:row r="22">
      <x:c r="A22" s="42" t="n">
        <x:v>46257</x:v>
      </x:c>
      <x:c r="B22" t="n">
        <x:v>15</x:v>
      </x:c>
      <x:c r="C22" t="n">
        <x:v>11</x:v>
      </x:c>
    </x:row>
    <x:row r="23">
      <x:c r="A23" s="42" t="n">
        <x:v>46264</x:v>
      </x:c>
      <x:c r="B23" t="n">
        <x:v>11</x:v>
      </x:c>
      <x:c r="C23" t="n">
        <x:v>6</x:v>
      </x:c>
    </x:row>
  </x:sheetData>
  <x:mergeCells>
    <x:mergeCell ref="A1:H1"/>
    <x:mergeCell ref="E11:H11"/>
    <x:mergeCell ref="F12:H12"/>
    <x:mergeCell ref="F13:H13"/>
    <x:mergeCell ref="F14:H14"/>
    <x:mergeCell ref="F15:H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4" max="4" width="25" hidden="0" customWidth="1"/>
    <x:col min="5" max="5" width="44" hidden="0" customWidth="1"/>
    <x:col min="6" max="6" width="18" hidden="0" customWidth="1"/>
  </x:cols>
  <x:sheetData>
    <x:row r="1" ht="30" customHeight="1">
      <x:c r="A1" s="2" t="str">
        <x:v>关键词筛选方法与建议指标</x:v>
      </x:c>
      <x:c r="B1" s="2"/>
      <x:c r="C1" s="2"/>
      <x:c r="D1" s="2"/>
      <x:c r="E1" s="2"/>
      <x:c r="F1" s="2"/>
    </x:row>
    <x:row r="3">
      <x:c r="A3" s="4" t="str">
        <x:v>筛选参数</x:v>
      </x:c>
      <x:c r="B3" s="4" t="str">
        <x:v>值</x:v>
      </x:c>
      <x:c r="D3" s="4" t="str">
        <x:v>建议附加指标</x:v>
      </x:c>
      <x:c r="E3" s="4" t="str">
        <x:v>为什么重要</x:v>
      </x:c>
      <x:c r="F3" s="4" t="str">
        <x:v>建议采集频率</x:v>
      </x:c>
    </x:row>
    <x:row r="4">
      <x:c r="A4" s="5" t="str">
        <x:v>最低美国月搜索量</x:v>
      </x:c>
      <x:c r="B4" s="17" t="n">
        <x:v>1000</x:v>
      </x:c>
      <x:c r="D4" s="5" t="str">
        <x:v>最近 90 天变化率</x:v>
      </x:c>
      <x:c r="E4" s="11" t="str">
        <x:v>比五年平均更能反映当前需求</x:v>
      </x:c>
      <x:c r="F4" s="6" t="str">
        <x:v>每月</x:v>
      </x:c>
    </x:row>
    <x:row r="5">
      <x:c r="A5" s="7" t="str">
        <x:v>最低 CPC（USD）</x:v>
      </x:c>
      <x:c r="B5" s="18" t="n">
        <x:v>0.05</x:v>
      </x:c>
      <x:c r="D5" s="7" t="str">
        <x:v>同比变化率</x:v>
      </x:c>
      <x:c r="E5" s="12" t="str">
        <x:v>排除季节性造成的假增长</x:v>
      </x:c>
      <x:c r="F5" s="8" t="str">
        <x:v>每月</x:v>
      </x:c>
    </x:row>
    <x:row r="6">
      <x:c r="A6" s="7" t="str">
        <x:v>建议最大 KD</x:v>
      </x:c>
      <x:c r="B6" s="15" t="n">
        <x:v>35</x:v>
      </x:c>
      <x:c r="D6" s="7" t="str">
        <x:v>季节性峰值月份</x:v>
      </x:c>
      <x:c r="E6" s="12" t="str">
        <x:v>指导内容发布时间和投放节奏</x:v>
      </x:c>
      <x:c r="F6" s="8" t="str">
        <x:v>每季度</x:v>
      </x:c>
    </x:row>
    <x:row r="7">
      <x:c r="A7" s="7" t="str">
        <x:v>搜索量评分封顶</x:v>
      </x:c>
      <x:c r="B7" s="15" t="n">
        <x:v>10000</x:v>
      </x:c>
      <x:c r="D7" s="7" t="str">
        <x:v>搜索意图</x:v>
      </x:c>
      <x:c r="E7" s="12" t="str">
        <x:v>区分内容流量与产品购买意图</x:v>
      </x:c>
      <x:c r="F7" s="8" t="str">
        <x:v>首次及季度复核</x:v>
      </x:c>
    </x:row>
    <x:row r="8">
      <x:c r="A8" s="7" t="str">
        <x:v>CPC 评分封顶</x:v>
      </x:c>
      <x:c r="B8" s="15" t="n">
        <x:v>5</x:v>
      </x:c>
      <x:c r="D8" s="7" t="str">
        <x:v>SERP 类型</x:v>
      </x:c>
      <x:c r="E8" s="12" t="str">
        <x:v>判断工具页、文章或视频更容易排名</x:v>
      </x:c>
      <x:c r="F8" s="8" t="str">
        <x:v>每季度</x:v>
      </x:c>
    </x:row>
    <x:row r="9">
      <x:c r="A9" s="9" t="str">
        <x:v>必须为上升趋势</x:v>
      </x:c>
      <x:c r="B9" s="16" t="str">
        <x:v>是</x:v>
      </x:c>
      <x:c r="D9" s="7" t="str">
        <x:v>排名页面权威度</x:v>
      </x:c>
      <x:c r="E9" s="12" t="str">
        <x:v>比单独 KD 更接近真实竞争难度</x:v>
      </x:c>
      <x:c r="F9" s="8" t="str">
        <x:v>每季度</x:v>
      </x:c>
    </x:row>
    <x:row r="10">
      <x:c r="D10" s="7" t="str">
        <x:v>地域集中度</x:v>
      </x:c>
      <x:c r="E10" s="12" t="str">
        <x:v>决定是否先做美国或扩展其他英语市场</x:v>
      </x:c>
      <x:c r="F10" s="8" t="str">
        <x:v>每季度</x:v>
      </x:c>
    </x:row>
    <x:row r="11">
      <x:c r="D11" s="7" t="str">
        <x:v>注册转化率</x:v>
      </x:c>
      <x:c r="E11" s="12" t="str">
        <x:v>验证关键词是否真正带来产品用户</x:v>
      </x:c>
      <x:c r="F11" s="8" t="str">
        <x:v>持续</x:v>
      </x:c>
    </x:row>
    <x:row r="12">
      <x:c r="D12" s="7" t="str">
        <x:v>首次录音完成率</x:v>
      </x:c>
      <x:c r="E12" s="12" t="str">
        <x:v>验证工具承接是否有效</x:v>
      </x:c>
      <x:c r="F12" s="8" t="str">
        <x:v>持续</x:v>
      </x:c>
    </x:row>
    <x:row r="13">
      <x:c r="D13" s="9" t="str">
        <x:v>付费转化率 / LTV</x:v>
      </x:c>
      <x:c r="E13" s="13" t="str">
        <x:v>最终决定关键词的商业价值</x:v>
      </x:c>
      <x:c r="F13" s="10" t="str">
        <x:v>持续</x:v>
      </x:c>
    </x:row>
    <x:row r="15">
      <x:c r="A15" s="20" t="str">
        <x:v>口径说明</x:v>
      </x:c>
      <x:c r="B15" t="str"/>
      <x:c r="C15" t="str"/>
      <x:c r="D15" t="str"/>
      <x:c r="E15" t="str"/>
      <x:c r="F15" t="str"/>
    </x:row>
    <x:row r="16">
      <x:c r="A16" s="21" t="str">
        <x:v>Google Trends</x:v>
      </x:c>
      <x:c r="B16" s="21" t="str">
        <x:v>数值为同一查询组内 0-100 的相对热度，不是绝对搜索量。</x:v>
      </x:c>
      <x:c r="C16" s="21" t="str"/>
      <x:c r="D16" s="21" t="str"/>
      <x:c r="E16" s="21" t="str"/>
      <x:c r="F16" s="21" t="str"/>
    </x:row>
    <x:row r="17">
      <x:c r="A17" s="21" t="str">
        <x:v>GPTs 基准</x:v>
      </x:c>
      <x:c r="B17" s="21" t="str">
        <x:v>用于帮助判断量级；当长尾词相对 GPTs 过小时，Trends 可能不返回时间序列。</x:v>
      </x:c>
      <x:c r="C17" s="21" t="str"/>
      <x:c r="D17" s="21" t="str"/>
      <x:c r="E17" s="21" t="str"/>
      <x:c r="F17" s="21" t="str"/>
    </x:row>
    <x:row r="18">
      <x:c r="A18" s="21" t="str">
        <x:v>Semrush</x:v>
      </x:c>
      <x:c r="B18" s="21" t="str">
        <x:v>搜索量、KD、CPC 和广告竞争度来自美国数据库，查询日期为 2026-08-30。</x:v>
      </x:c>
      <x:c r="C18" s="21" t="str"/>
      <x:c r="D18" s="21" t="str"/>
      <x:c r="E18" s="21" t="str"/>
      <x:c r="F18" s="21" t="str"/>
    </x:row>
  </x:sheetData>
  <x:mergeCells>
    <x:mergeCell ref="A1:F1"/>
    <x:mergeCell ref="A15:F15"/>
    <x:mergeCell ref="B16:F16"/>
    <x:mergeCell ref="B17:F17"/>
    <x:mergeCell ref="B18:F18"/>
  </x:mergeCells>
  <x:pageMargins left="0.7" right="0.7" top="0.75" bottom="0.75" header="0.3" footer="0.3"/>
</x:worksheet>
</file>